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asmaj\Desktop\liberalisation-regime-change-maroc\data\interim\maroc\IDE\"/>
    </mc:Choice>
  </mc:AlternateContent>
  <xr:revisionPtr revIDLastSave="0" documentId="13_ncr:1_{C1434857-3693-452C-BB6E-5DF9C5808C25}" xr6:coauthVersionLast="47" xr6:coauthVersionMax="47" xr10:uidLastSave="{00000000-0000-0000-0000-000000000000}"/>
  <bookViews>
    <workbookView xWindow="-110" yWindow="-110" windowWidth="19420" windowHeight="10300" tabRatio="921" xr2:uid="{00000000-000D-0000-FFFF-FFFF00000000}"/>
  </bookViews>
  <sheets>
    <sheet name="R-IDEM-S" sheetId="17" r:id="rId1"/>
  </sheets>
  <externalReferences>
    <externalReference r:id="rId2"/>
  </externalReferences>
  <definedNames>
    <definedName name="Cours02">'[1]COURS 02'!$A$2:$B$23</definedName>
    <definedName name="Cours03">'[1]COURS 03'!$A$2:$B$19</definedName>
    <definedName name="dfg" localSheetId="0">#REF!</definedName>
    <definedName name="dfg">#REF!</definedName>
    <definedName name="erft" localSheetId="0">#REF!</definedName>
    <definedName name="erft">#REF!</definedName>
    <definedName name="ghfcghcf" localSheetId="0">#REF!</definedName>
    <definedName name="ghfcghcf">#REF!</definedName>
    <definedName name="id_qinz">#REF!</definedName>
    <definedName name="invpay95" localSheetId="0">#REF!</definedName>
    <definedName name="invpay95">#REF!</definedName>
    <definedName name="Mat1_96" localSheetId="0">#REF!</definedName>
    <definedName name="Mat1_96">#REF!</definedName>
    <definedName name="Mat1_96_" localSheetId="0">#REF!</definedName>
    <definedName name="Mat1_96_">#REF!</definedName>
    <definedName name="qde" localSheetId="0">#REF!</definedName>
    <definedName name="qde">#REF!</definedName>
    <definedName name="qsd" localSheetId="0">#REF!</definedName>
    <definedName name="qsd">#REF!</definedName>
    <definedName name="qsdcqs" localSheetId="0">#REF!</definedName>
    <definedName name="qsdcqs">#REF!</definedName>
    <definedName name="qsdfgfjghk" localSheetId="0">#REF!</definedName>
    <definedName name="qsdfgfjghk">#REF!</definedName>
    <definedName name="s" localSheetId="0">#REF!</definedName>
    <definedName name="s">#REF!</definedName>
    <definedName name="sdf" localSheetId="0">#REF!</definedName>
    <definedName name="sdf">#REF!</definedName>
    <definedName name="sdfs" localSheetId="0">#REF!</definedName>
    <definedName name="sdfs">#REF!</definedName>
    <definedName name="sdfsq">#REF!</definedName>
    <definedName name="seiz">#REF!</definedName>
    <definedName name="sgsdgdfws">#REF!</definedName>
    <definedName name="xftgjcfjcgj" localSheetId="0">#REF!</definedName>
    <definedName name="xftgjcfjcgj">#REF!</definedName>
    <definedName name="zerfzerz" localSheetId="0">#REF!</definedName>
    <definedName name="zerfzer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6" i="17" l="1"/>
  <c r="B16" i="17"/>
  <c r="T16" i="17"/>
  <c r="S16" i="17" l="1"/>
  <c r="Q16" i="17" l="1"/>
  <c r="R16" i="17"/>
  <c r="O16" i="17"/>
  <c r="P16" i="17"/>
  <c r="M16" i="17"/>
  <c r="N16" i="17"/>
  <c r="K16" i="17"/>
  <c r="L16" i="17"/>
  <c r="I16" i="17"/>
  <c r="J16" i="17"/>
  <c r="G16" i="17"/>
  <c r="H16" i="17"/>
  <c r="E16" i="17"/>
  <c r="D16" i="17"/>
  <c r="F2" i="17" l="1"/>
  <c r="F16" i="17" s="1"/>
</calcChain>
</file>

<file path=xl/sharedStrings.xml><?xml version="1.0" encoding="utf-8"?>
<sst xmlns="http://schemas.openxmlformats.org/spreadsheetml/2006/main" count="19" uniqueCount="19">
  <si>
    <t>TOTAL</t>
  </si>
  <si>
    <t>Industrie</t>
  </si>
  <si>
    <t>Banque</t>
  </si>
  <si>
    <t>Immobilier</t>
  </si>
  <si>
    <t>Commerce</t>
  </si>
  <si>
    <t>Holding</t>
  </si>
  <si>
    <t>Tourisme</t>
  </si>
  <si>
    <t>Agriculture</t>
  </si>
  <si>
    <t>Télécommunications</t>
  </si>
  <si>
    <t>Pêche</t>
  </si>
  <si>
    <t>Transports</t>
  </si>
  <si>
    <t>Energie et mines</t>
  </si>
  <si>
    <t>Grands travaux</t>
  </si>
  <si>
    <t>Autres services</t>
  </si>
  <si>
    <t>Divers secteurs</t>
  </si>
  <si>
    <t>SECTEURS D'ACTIVITE</t>
  </si>
  <si>
    <t>Assurance</t>
  </si>
  <si>
    <t>2024*</t>
  </si>
  <si>
    <t>Janv-Sept 2025*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</si>
</sst>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_€_-;\-* #,##0.00\ _€_-;_-* &quot;-&quot;??\ _€_-;_-@_-"/>
    <numFmt numFmtId="165" formatCode="_-* #,##0.00\ _F_-;\-* #,##0.00\ _F_-;_-* &quot;-&quot;??\ _F_-;_-@_-"/>
    <numFmt numFmtId="166" formatCode="#,##0;\-#,##0;&quot;-   &quot;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indexed="18"/>
      <name val="Times New Roman"/>
      <family val="1"/>
    </font>
    <font>
      <sz val="10"/>
      <name val="Times New Roman"/>
      <family val="1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 style="thin">
        <color indexed="23"/>
      </right>
      <top style="thin">
        <color indexed="23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64"/>
      </bottom>
      <diagonal/>
    </border>
    <border>
      <left/>
      <right style="thin">
        <color indexed="23"/>
      </right>
      <top/>
      <bottom/>
      <diagonal/>
    </border>
    <border>
      <left style="thin">
        <color indexed="23"/>
      </left>
      <right style="thin">
        <color indexed="23"/>
      </right>
      <top/>
      <bottom/>
      <diagonal/>
    </border>
  </borders>
  <cellStyleXfs count="13">
    <xf numFmtId="0" fontId="0" fillId="0" borderId="0"/>
    <xf numFmtId="0" fontId="1" fillId="0" borderId="0" applyProtection="0"/>
    <xf numFmtId="0" fontId="1" fillId="0" borderId="0"/>
    <xf numFmtId="0" fontId="1" fillId="0" borderId="0"/>
    <xf numFmtId="0" fontId="4" fillId="0" borderId="0"/>
    <xf numFmtId="165" fontId="1" fillId="0" borderId="0" applyFont="0" applyFill="0" applyBorder="0" applyAlignment="0" applyProtection="0"/>
    <xf numFmtId="0" fontId="5" fillId="0" borderId="0"/>
    <xf numFmtId="164" fontId="6" fillId="0" borderId="0" applyFont="0" applyFill="0" applyBorder="0" applyAlignment="0" applyProtection="0"/>
    <xf numFmtId="0" fontId="1" fillId="0" borderId="0"/>
    <xf numFmtId="0" fontId="1" fillId="0" borderId="0"/>
    <xf numFmtId="164" fontId="6" fillId="0" borderId="0" applyFont="0" applyFill="0" applyBorder="0" applyAlignment="0" applyProtection="0"/>
    <xf numFmtId="0" fontId="6" fillId="0" borderId="0"/>
    <xf numFmtId="0" fontId="6" fillId="0" borderId="0"/>
  </cellStyleXfs>
  <cellXfs count="14">
    <xf numFmtId="0" fontId="0" fillId="0" borderId="0" xfId="0"/>
    <xf numFmtId="0" fontId="2" fillId="3" borderId="1" xfId="1" applyFont="1" applyFill="1" applyBorder="1" applyAlignment="1">
      <alignment horizontal="center" vertical="center"/>
    </xf>
    <xf numFmtId="0" fontId="2" fillId="3" borderId="2" xfId="1" applyFont="1" applyFill="1" applyBorder="1" applyAlignment="1">
      <alignment horizontal="center" vertical="center"/>
    </xf>
    <xf numFmtId="0" fontId="2" fillId="3" borderId="2" xfId="1" applyFont="1" applyFill="1" applyBorder="1" applyAlignment="1">
      <alignment horizontal="center" vertical="center" wrapText="1"/>
    </xf>
    <xf numFmtId="0" fontId="6" fillId="0" borderId="0" xfId="0" applyFont="1"/>
    <xf numFmtId="166" fontId="2" fillId="2" borderId="4" xfId="1" applyNumberFormat="1" applyFont="1" applyFill="1" applyBorder="1" applyAlignment="1">
      <alignment horizontal="right" vertical="center" indent="1"/>
    </xf>
    <xf numFmtId="0" fontId="3" fillId="0" borderId="5" xfId="1" applyFont="1" applyBorder="1" applyAlignment="1">
      <alignment vertical="center"/>
    </xf>
    <xf numFmtId="166" fontId="3" fillId="0" borderId="6" xfId="1" applyNumberFormat="1" applyFont="1" applyBorder="1" applyAlignment="1">
      <alignment horizontal="right" vertical="center" indent="1"/>
    </xf>
    <xf numFmtId="166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166" fontId="3" fillId="4" borderId="6" xfId="1" applyNumberFormat="1" applyFont="1" applyFill="1" applyBorder="1" applyAlignment="1">
      <alignment horizontal="right" vertical="center" indent="1"/>
    </xf>
    <xf numFmtId="0" fontId="3" fillId="4" borderId="5" xfId="1" applyFont="1" applyFill="1" applyBorder="1" applyAlignment="1">
      <alignment vertical="center"/>
    </xf>
    <xf numFmtId="166" fontId="2" fillId="2" borderId="3" xfId="1" applyNumberFormat="1" applyFont="1" applyFill="1" applyBorder="1" applyAlignment="1">
      <alignment horizontal="center" vertical="center"/>
    </xf>
  </cellXfs>
  <cellStyles count="13">
    <cellStyle name="Milliers 2" xfId="5" xr:uid="{00000000-0005-0000-0000-000000000000}"/>
    <cellStyle name="Milliers 2 2" xfId="10" xr:uid="{00000000-0005-0000-0000-000001000000}"/>
    <cellStyle name="Milliers 3" xfId="7" xr:uid="{00000000-0005-0000-0000-000002000000}"/>
    <cellStyle name="Normal" xfId="0" builtinId="0"/>
    <cellStyle name="Normal 131" xfId="12" xr:uid="{00000000-0005-0000-0000-000004000000}"/>
    <cellStyle name="Normal 2" xfId="3" xr:uid="{00000000-0005-0000-0000-000005000000}"/>
    <cellStyle name="Normal 2 2" xfId="8" xr:uid="{00000000-0005-0000-0000-000006000000}"/>
    <cellStyle name="Normal 2 2 2" xfId="11" xr:uid="{00000000-0005-0000-0000-000007000000}"/>
    <cellStyle name="Normal 3" xfId="2" xr:uid="{00000000-0005-0000-0000-000008000000}"/>
    <cellStyle name="Normal 4" xfId="4" xr:uid="{00000000-0005-0000-0000-000009000000}"/>
    <cellStyle name="Normal 5" xfId="6" xr:uid="{00000000-0005-0000-0000-00000A000000}"/>
    <cellStyle name="Normal 5 2" xfId="9" xr:uid="{00000000-0005-0000-0000-00000B000000}"/>
    <cellStyle name="Normal_invsect91-95" xfId="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UBELAID\hRIR\Documents%20and%20Settings\OUBELAID\Mes%20documents\El&#233;ments%20des%20avoirs%202002%202003\position%200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URS 02"/>
      <sheetName val="COURS 03"/>
      <sheetName val="Feuil1"/>
      <sheetName val="BMCE C CORRESP"/>
      <sheetName val="BMCE"/>
      <sheetName val="BMCE CAP"/>
      <sheetName val="CDM CORRESP"/>
      <sheetName val="CDM"/>
      <sheetName val="BCP"/>
      <sheetName val="BCM"/>
      <sheetName val="BCM corresp"/>
      <sheetName val="CIH corresp"/>
      <sheetName val="CIH"/>
      <sheetName val="Wafabank"/>
      <sheetName val="BMCI"/>
      <sheetName val="CNCA corresp"/>
      <sheetName val="CNCA"/>
      <sheetName val="BMAO corres"/>
      <sheetName val="BMAO"/>
      <sheetName val="Resultats bques"/>
      <sheetName val="Banques regroupées"/>
      <sheetName val="Resultats"/>
      <sheetName val="Feuil2"/>
      <sheetName val="PEG SOCIETES ET BANQUES"/>
      <sheetName val="PEG SOCIETES ET BANQUES (Tri)"/>
      <sheetName val="IAM"/>
      <sheetName val="G ONA"/>
      <sheetName val="RAM"/>
      <sheetName val="Finance.com"/>
      <sheetName val="SOMED"/>
      <sheetName val="Maghreb Steel"/>
      <sheetName val="Moussahama"/>
      <sheetName val="PRPM"/>
      <sheetName val="CIMR"/>
      <sheetName val="Al watania"/>
      <sheetName val="Situation des I à l'etranger"/>
      <sheetName val="Situation des I à l'etrange (2)"/>
      <sheetName val="Situation résumée"/>
    </sheetNames>
    <sheetDataSet>
      <sheetData sheetId="0">
        <row r="2">
          <cell r="A2" t="str">
            <v>EUR</v>
          </cell>
          <cell r="B2">
            <v>10.64</v>
          </cell>
        </row>
        <row r="3">
          <cell r="A3" t="str">
            <v>USD</v>
          </cell>
          <cell r="B3">
            <v>10.166499999999999</v>
          </cell>
        </row>
        <row r="4">
          <cell r="A4" t="str">
            <v>CAD</v>
          </cell>
          <cell r="B4">
            <v>6.4405000000000001</v>
          </cell>
        </row>
        <row r="5">
          <cell r="A5" t="str">
            <v>GBP</v>
          </cell>
          <cell r="B5">
            <v>16.355</v>
          </cell>
        </row>
        <row r="6">
          <cell r="A6" t="str">
            <v>CHF</v>
          </cell>
          <cell r="B6">
            <v>7.3227000000000002</v>
          </cell>
        </row>
        <row r="7">
          <cell r="A7" t="str">
            <v>DKK</v>
          </cell>
          <cell r="B7">
            <v>1.4323999999999999</v>
          </cell>
        </row>
        <row r="8">
          <cell r="A8" t="str">
            <v>SEK</v>
          </cell>
          <cell r="B8">
            <v>1.1591499999999999</v>
          </cell>
        </row>
        <row r="9">
          <cell r="A9" t="str">
            <v>NOK</v>
          </cell>
          <cell r="B9">
            <v>1.46255</v>
          </cell>
        </row>
        <row r="10">
          <cell r="A10" t="str">
            <v>SAR</v>
          </cell>
          <cell r="B10">
            <v>2.7107999999999999</v>
          </cell>
        </row>
        <row r="11">
          <cell r="A11" t="str">
            <v>KWD</v>
          </cell>
          <cell r="B11">
            <v>33.945500000000003</v>
          </cell>
        </row>
        <row r="12">
          <cell r="A12" t="str">
            <v>AED</v>
          </cell>
          <cell r="B12">
            <v>2.7679</v>
          </cell>
        </row>
        <row r="13">
          <cell r="A13" t="str">
            <v>JPY</v>
          </cell>
          <cell r="B13">
            <v>8.5702E-2</v>
          </cell>
        </row>
        <row r="14">
          <cell r="A14" t="str">
            <v>DZD</v>
          </cell>
          <cell r="B14">
            <v>0.12753999999999999</v>
          </cell>
        </row>
        <row r="15">
          <cell r="A15" t="str">
            <v>TND</v>
          </cell>
          <cell r="B15">
            <v>7.5991</v>
          </cell>
        </row>
        <row r="16">
          <cell r="A16" t="str">
            <v>LYD</v>
          </cell>
          <cell r="B16">
            <v>8.3765999999999998</v>
          </cell>
        </row>
        <row r="17">
          <cell r="A17" t="str">
            <v>MRO</v>
          </cell>
          <cell r="B17">
            <v>3.7935000000000003E-2</v>
          </cell>
        </row>
        <row r="18">
          <cell r="A18" t="str">
            <v>FCFA</v>
          </cell>
          <cell r="B18">
            <v>1.6299999999999999E-2</v>
          </cell>
        </row>
        <row r="19">
          <cell r="A19" t="str">
            <v>FRF</v>
          </cell>
          <cell r="B19">
            <v>1.6220000000000001</v>
          </cell>
        </row>
        <row r="20">
          <cell r="A20" t="str">
            <v>ITL</v>
          </cell>
          <cell r="B20">
            <v>5.4949999999999999E-3</v>
          </cell>
        </row>
        <row r="21">
          <cell r="A21" t="str">
            <v>BEF</v>
          </cell>
          <cell r="B21">
            <v>0.26375999999999999</v>
          </cell>
        </row>
        <row r="22">
          <cell r="A22" t="str">
            <v>ESP</v>
          </cell>
          <cell r="B22">
            <v>6.3979999999999995E-2</v>
          </cell>
        </row>
        <row r="23">
          <cell r="A23" t="str">
            <v>MAD</v>
          </cell>
          <cell r="B23">
            <v>1</v>
          </cell>
        </row>
      </sheetData>
      <sheetData sheetId="1">
        <row r="2">
          <cell r="A2" t="str">
            <v>EUR</v>
          </cell>
          <cell r="B2">
            <v>11.055</v>
          </cell>
        </row>
        <row r="3">
          <cell r="A3" t="str">
            <v>USD</v>
          </cell>
          <cell r="B3">
            <v>8.7499500000000001</v>
          </cell>
        </row>
        <row r="4">
          <cell r="A4" t="str">
            <v>CAD</v>
          </cell>
          <cell r="B4">
            <v>6.7997500000000004</v>
          </cell>
        </row>
        <row r="5">
          <cell r="A5" t="str">
            <v>GBP</v>
          </cell>
          <cell r="B5">
            <v>15.696999999999999</v>
          </cell>
        </row>
        <row r="6">
          <cell r="A6" t="str">
            <v>CHF</v>
          </cell>
          <cell r="B6">
            <v>7.0944500000000001</v>
          </cell>
        </row>
        <row r="7">
          <cell r="A7" t="str">
            <v>DKK</v>
          </cell>
          <cell r="B7">
            <v>1.48495</v>
          </cell>
        </row>
        <row r="8">
          <cell r="A8" t="str">
            <v>SEK</v>
          </cell>
          <cell r="B8">
            <v>1.21885</v>
          </cell>
        </row>
        <row r="9">
          <cell r="A9" t="str">
            <v>NOK</v>
          </cell>
          <cell r="B9">
            <v>1.31725</v>
          </cell>
        </row>
        <row r="10">
          <cell r="A10" t="str">
            <v>SAR</v>
          </cell>
          <cell r="B10">
            <v>2.3331</v>
          </cell>
        </row>
        <row r="11">
          <cell r="A11" t="str">
            <v>KWD</v>
          </cell>
          <cell r="B11">
            <v>29.747</v>
          </cell>
        </row>
        <row r="12">
          <cell r="A12" t="str">
            <v>AED</v>
          </cell>
          <cell r="B12">
            <v>2.38225</v>
          </cell>
        </row>
        <row r="13">
          <cell r="A13" t="str">
            <v>JPY</v>
          </cell>
          <cell r="B13">
            <v>8.1809499999999993E-2</v>
          </cell>
        </row>
        <row r="14">
          <cell r="A14" t="str">
            <v>DZD</v>
          </cell>
          <cell r="B14">
            <v>0.1205</v>
          </cell>
        </row>
        <row r="15">
          <cell r="A15" t="str">
            <v>TND</v>
          </cell>
          <cell r="B15">
            <v>7.2138</v>
          </cell>
        </row>
        <row r="16">
          <cell r="A16" t="str">
            <v>LYD</v>
          </cell>
          <cell r="B16">
            <v>6.6794000000000002</v>
          </cell>
        </row>
        <row r="17">
          <cell r="A17" t="str">
            <v>MRO</v>
          </cell>
          <cell r="B17">
            <v>3.3066999999999999E-2</v>
          </cell>
        </row>
        <row r="18">
          <cell r="A18" t="str">
            <v>FCFA</v>
          </cell>
        </row>
        <row r="19">
          <cell r="A19" t="str">
            <v>MAD</v>
          </cell>
          <cell r="B19">
            <v>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5"/>
  <sheetViews>
    <sheetView showGridLines="0" tabSelected="1" workbookViewId="0">
      <selection activeCell="C13" sqref="C13"/>
    </sheetView>
  </sheetViews>
  <sheetFormatPr defaultColWidth="10.90625" defaultRowHeight="14.5" x14ac:dyDescent="0.35"/>
  <cols>
    <col min="1" max="1" width="21.36328125" bestFit="1" customWidth="1"/>
    <col min="2" max="17" width="10.81640625" customWidth="1"/>
    <col min="18" max="19" width="11.26953125" customWidth="1"/>
    <col min="20" max="20" width="11.54296875" customWidth="1"/>
  </cols>
  <sheetData>
    <row r="1" spans="1:20" ht="32.25" customHeight="1" x14ac:dyDescent="0.35">
      <c r="A1" s="1" t="s">
        <v>15</v>
      </c>
      <c r="B1" s="1">
        <v>2007</v>
      </c>
      <c r="C1" s="1">
        <v>2008</v>
      </c>
      <c r="D1" s="1">
        <v>2009</v>
      </c>
      <c r="E1" s="1">
        <v>2010</v>
      </c>
      <c r="F1" s="2">
        <v>2011</v>
      </c>
      <c r="G1" s="2">
        <v>2012</v>
      </c>
      <c r="H1" s="2">
        <v>2013</v>
      </c>
      <c r="I1" s="2">
        <v>2014</v>
      </c>
      <c r="J1" s="2">
        <v>2015</v>
      </c>
      <c r="K1" s="3">
        <v>2016</v>
      </c>
      <c r="L1" s="3">
        <v>2017</v>
      </c>
      <c r="M1" s="3">
        <v>2018</v>
      </c>
      <c r="N1" s="3">
        <v>2019</v>
      </c>
      <c r="O1" s="3">
        <v>2020</v>
      </c>
      <c r="P1" s="3">
        <v>2021</v>
      </c>
      <c r="Q1" s="3">
        <v>2022</v>
      </c>
      <c r="R1" s="3">
        <v>2023</v>
      </c>
      <c r="S1" s="3" t="s">
        <v>17</v>
      </c>
      <c r="T1" s="3" t="s">
        <v>18</v>
      </c>
    </row>
    <row r="2" spans="1:20" x14ac:dyDescent="0.35">
      <c r="A2" s="6" t="s">
        <v>1</v>
      </c>
      <c r="B2" s="7">
        <v>3314.3999999999996</v>
      </c>
      <c r="C2" s="7">
        <v>1784</v>
      </c>
      <c r="D2" s="7">
        <v>2724.9</v>
      </c>
      <c r="E2" s="7">
        <v>4772.1000000000004</v>
      </c>
      <c r="F2" s="7">
        <f>5478+651.5</f>
        <v>6129.5</v>
      </c>
      <c r="G2" s="7">
        <v>8169</v>
      </c>
      <c r="H2" s="7">
        <v>15335</v>
      </c>
      <c r="I2" s="7">
        <v>9893</v>
      </c>
      <c r="J2" s="7">
        <v>8714.2000000000007</v>
      </c>
      <c r="K2" s="7">
        <v>9676</v>
      </c>
      <c r="L2" s="7">
        <v>6816.8</v>
      </c>
      <c r="M2" s="7">
        <v>8743.4</v>
      </c>
      <c r="N2" s="7">
        <v>12670</v>
      </c>
      <c r="O2" s="7">
        <v>7905</v>
      </c>
      <c r="P2" s="7">
        <v>9207</v>
      </c>
      <c r="Q2" s="7">
        <v>15224</v>
      </c>
      <c r="R2" s="7">
        <v>14265</v>
      </c>
      <c r="S2" s="11">
        <v>16464</v>
      </c>
      <c r="T2" s="11">
        <v>15988</v>
      </c>
    </row>
    <row r="3" spans="1:20" x14ac:dyDescent="0.35">
      <c r="A3" s="6" t="s">
        <v>3</v>
      </c>
      <c r="B3" s="7">
        <v>7590.8</v>
      </c>
      <c r="C3" s="7">
        <v>9152</v>
      </c>
      <c r="D3" s="7">
        <v>5554.6</v>
      </c>
      <c r="E3" s="7">
        <v>7268.4</v>
      </c>
      <c r="F3" s="7">
        <v>8118.5</v>
      </c>
      <c r="G3" s="7">
        <v>7331.5</v>
      </c>
      <c r="H3" s="7">
        <v>7572.6</v>
      </c>
      <c r="I3" s="7">
        <v>10790.5</v>
      </c>
      <c r="J3" s="7">
        <v>10799</v>
      </c>
      <c r="K3" s="7">
        <v>11210.9</v>
      </c>
      <c r="L3" s="7">
        <v>9866.7000000000007</v>
      </c>
      <c r="M3" s="7">
        <v>7148.9</v>
      </c>
      <c r="N3" s="7">
        <v>7078</v>
      </c>
      <c r="O3" s="7">
        <v>5770</v>
      </c>
      <c r="P3" s="7">
        <v>6578</v>
      </c>
      <c r="Q3" s="7">
        <v>7483</v>
      </c>
      <c r="R3" s="7">
        <v>7484</v>
      </c>
      <c r="S3" s="11">
        <v>9644</v>
      </c>
      <c r="T3" s="11">
        <v>9118</v>
      </c>
    </row>
    <row r="4" spans="1:20" x14ac:dyDescent="0.35">
      <c r="A4" s="6" t="s">
        <v>4</v>
      </c>
      <c r="B4" s="7">
        <v>343.7</v>
      </c>
      <c r="C4" s="7">
        <v>179.70000000000002</v>
      </c>
      <c r="D4" s="7">
        <v>180.2</v>
      </c>
      <c r="E4" s="7">
        <v>1240</v>
      </c>
      <c r="F4" s="7">
        <v>1755.8999999999999</v>
      </c>
      <c r="G4" s="7">
        <v>1479.7</v>
      </c>
      <c r="H4" s="7">
        <v>2282</v>
      </c>
      <c r="I4" s="7">
        <v>2609.1</v>
      </c>
      <c r="J4" s="7">
        <v>2565.8000000000002</v>
      </c>
      <c r="K4" s="7">
        <v>4654.1000000000004</v>
      </c>
      <c r="L4" s="7">
        <v>3119.5</v>
      </c>
      <c r="M4" s="7">
        <v>4047.3</v>
      </c>
      <c r="N4" s="7">
        <v>1825</v>
      </c>
      <c r="O4" s="7">
        <v>2492</v>
      </c>
      <c r="P4" s="7">
        <v>2694</v>
      </c>
      <c r="Q4" s="7">
        <v>1748</v>
      </c>
      <c r="R4" s="7">
        <v>3415</v>
      </c>
      <c r="S4" s="11">
        <v>2872</v>
      </c>
      <c r="T4" s="11">
        <v>3687</v>
      </c>
    </row>
    <row r="5" spans="1:20" x14ac:dyDescent="0.35">
      <c r="A5" s="6" t="s">
        <v>11</v>
      </c>
      <c r="B5" s="7">
        <v>2818.5</v>
      </c>
      <c r="C5" s="7">
        <v>1568.4</v>
      </c>
      <c r="D5" s="7">
        <v>155</v>
      </c>
      <c r="E5" s="7">
        <v>754</v>
      </c>
      <c r="F5" s="7">
        <v>1799.2</v>
      </c>
      <c r="G5" s="7">
        <v>5591.8</v>
      </c>
      <c r="H5" s="7">
        <v>2250.6</v>
      </c>
      <c r="I5" s="7">
        <v>1419.4</v>
      </c>
      <c r="J5" s="7">
        <v>2081.3000000000002</v>
      </c>
      <c r="K5" s="7">
        <v>499.3</v>
      </c>
      <c r="L5" s="7">
        <v>2118.5</v>
      </c>
      <c r="M5" s="7">
        <v>3886.3</v>
      </c>
      <c r="N5" s="7">
        <v>1337</v>
      </c>
      <c r="O5" s="7">
        <v>1825</v>
      </c>
      <c r="P5" s="7">
        <v>1273</v>
      </c>
      <c r="Q5" s="7">
        <v>1662</v>
      </c>
      <c r="R5" s="7">
        <v>3204</v>
      </c>
      <c r="S5" s="11">
        <v>2361</v>
      </c>
      <c r="T5" s="11">
        <v>3658</v>
      </c>
    </row>
    <row r="6" spans="1:20" x14ac:dyDescent="0.35">
      <c r="A6" s="6" t="s">
        <v>6</v>
      </c>
      <c r="B6" s="7">
        <v>12421.7</v>
      </c>
      <c r="C6" s="7">
        <v>5674.9</v>
      </c>
      <c r="D6" s="7">
        <v>2872.7</v>
      </c>
      <c r="E6" s="7">
        <v>4058.9</v>
      </c>
      <c r="F6" s="7">
        <v>2564.8000000000002</v>
      </c>
      <c r="G6" s="7">
        <v>1680</v>
      </c>
      <c r="H6" s="7">
        <v>3340.6</v>
      </c>
      <c r="I6" s="7">
        <v>3389.5</v>
      </c>
      <c r="J6" s="7">
        <v>2349.8000000000002</v>
      </c>
      <c r="K6" s="7">
        <v>1080.7</v>
      </c>
      <c r="L6" s="7">
        <v>736.6</v>
      </c>
      <c r="M6" s="7">
        <v>2338.6</v>
      </c>
      <c r="N6" s="7">
        <v>2377</v>
      </c>
      <c r="O6" s="7">
        <v>997</v>
      </c>
      <c r="P6" s="7">
        <v>2581</v>
      </c>
      <c r="Q6" s="7">
        <v>2237</v>
      </c>
      <c r="R6" s="7">
        <v>2359</v>
      </c>
      <c r="S6" s="11">
        <v>1843</v>
      </c>
      <c r="T6" s="11">
        <v>2616</v>
      </c>
    </row>
    <row r="7" spans="1:20" x14ac:dyDescent="0.35">
      <c r="A7" s="6" t="s">
        <v>5</v>
      </c>
      <c r="B7" s="7">
        <v>847.8</v>
      </c>
      <c r="C7" s="7">
        <v>2209.1999999999998</v>
      </c>
      <c r="D7" s="7">
        <v>171.2</v>
      </c>
      <c r="E7" s="7">
        <v>961.19999999999993</v>
      </c>
      <c r="F7" s="7">
        <v>1172.5999999999999</v>
      </c>
      <c r="G7" s="7">
        <v>845.8</v>
      </c>
      <c r="H7" s="7">
        <v>1729.6</v>
      </c>
      <c r="I7" s="7">
        <v>1890.9</v>
      </c>
      <c r="J7" s="7">
        <v>2635.6</v>
      </c>
      <c r="K7" s="7">
        <v>1585.5</v>
      </c>
      <c r="L7" s="7">
        <v>591.29999999999995</v>
      </c>
      <c r="M7" s="7">
        <v>962.7</v>
      </c>
      <c r="N7" s="7">
        <v>1226</v>
      </c>
      <c r="O7" s="7">
        <v>757</v>
      </c>
      <c r="P7" s="7">
        <v>1394</v>
      </c>
      <c r="Q7" s="7">
        <v>414</v>
      </c>
      <c r="R7" s="7">
        <v>755</v>
      </c>
      <c r="S7" s="11">
        <v>1072</v>
      </c>
      <c r="T7" s="11">
        <v>1961</v>
      </c>
    </row>
    <row r="8" spans="1:20" x14ac:dyDescent="0.35">
      <c r="A8" s="6" t="s">
        <v>2</v>
      </c>
      <c r="B8" s="7">
        <v>1823.7</v>
      </c>
      <c r="C8" s="7">
        <v>4959.5999999999995</v>
      </c>
      <c r="D8" s="7">
        <v>6444.8</v>
      </c>
      <c r="E8" s="7">
        <v>4562.7</v>
      </c>
      <c r="F8" s="7">
        <v>1357.3999999999999</v>
      </c>
      <c r="G8" s="7">
        <v>1764.6</v>
      </c>
      <c r="H8" s="7">
        <v>986.7</v>
      </c>
      <c r="I8" s="7">
        <v>873.5</v>
      </c>
      <c r="J8" s="7">
        <v>840.2</v>
      </c>
      <c r="K8" s="7">
        <v>637.4</v>
      </c>
      <c r="L8" s="7">
        <v>1266.0999999999999</v>
      </c>
      <c r="M8" s="7">
        <v>864.3</v>
      </c>
      <c r="N8" s="7">
        <v>2089</v>
      </c>
      <c r="O8" s="7">
        <v>1147</v>
      </c>
      <c r="P8" s="7">
        <v>1600</v>
      </c>
      <c r="Q8" s="7">
        <v>772</v>
      </c>
      <c r="R8" s="7">
        <v>1238</v>
      </c>
      <c r="S8" s="11">
        <v>759</v>
      </c>
      <c r="T8" s="11">
        <v>886</v>
      </c>
    </row>
    <row r="9" spans="1:20" x14ac:dyDescent="0.35">
      <c r="A9" s="6" t="s">
        <v>16</v>
      </c>
      <c r="B9" s="7">
        <v>21.4</v>
      </c>
      <c r="C9" s="7">
        <v>200.7</v>
      </c>
      <c r="D9" s="7">
        <v>451.6</v>
      </c>
      <c r="E9" s="7">
        <v>206.6</v>
      </c>
      <c r="F9" s="7">
        <v>148.60000000000002</v>
      </c>
      <c r="G9" s="7">
        <v>2094.8000000000002</v>
      </c>
      <c r="H9" s="7">
        <v>118.2</v>
      </c>
      <c r="I9" s="7">
        <v>162.9</v>
      </c>
      <c r="J9" s="7">
        <v>170.6</v>
      </c>
      <c r="K9" s="7">
        <v>310.3</v>
      </c>
      <c r="L9" s="7">
        <v>4115.6000000000004</v>
      </c>
      <c r="M9" s="7">
        <v>9637.2999999999993</v>
      </c>
      <c r="N9" s="7">
        <v>361</v>
      </c>
      <c r="O9" s="7">
        <v>27</v>
      </c>
      <c r="P9" s="7">
        <v>724</v>
      </c>
      <c r="Q9" s="7">
        <v>111</v>
      </c>
      <c r="R9" s="7">
        <v>36</v>
      </c>
      <c r="S9" s="11">
        <v>1194</v>
      </c>
      <c r="T9" s="11">
        <v>794</v>
      </c>
    </row>
    <row r="10" spans="1:20" x14ac:dyDescent="0.35">
      <c r="A10" s="6" t="s">
        <v>7</v>
      </c>
      <c r="B10" s="7">
        <v>33</v>
      </c>
      <c r="C10" s="7">
        <v>27</v>
      </c>
      <c r="D10" s="7">
        <v>25.6</v>
      </c>
      <c r="E10" s="7">
        <v>60.6</v>
      </c>
      <c r="F10" s="7">
        <v>92.399999999999991</v>
      </c>
      <c r="G10" s="7">
        <v>85.7</v>
      </c>
      <c r="H10" s="7">
        <v>316.7</v>
      </c>
      <c r="I10" s="7">
        <v>128.69999999999999</v>
      </c>
      <c r="J10" s="7">
        <v>337.8</v>
      </c>
      <c r="K10" s="7">
        <v>374</v>
      </c>
      <c r="L10" s="7">
        <v>265.89999999999998</v>
      </c>
      <c r="M10" s="7">
        <v>254.1</v>
      </c>
      <c r="N10" s="7">
        <v>383</v>
      </c>
      <c r="O10" s="7">
        <v>452</v>
      </c>
      <c r="P10" s="7">
        <v>1114</v>
      </c>
      <c r="Q10" s="7">
        <v>583</v>
      </c>
      <c r="R10" s="7">
        <v>654</v>
      </c>
      <c r="S10" s="11">
        <v>662</v>
      </c>
      <c r="T10" s="11">
        <v>752</v>
      </c>
    </row>
    <row r="11" spans="1:20" x14ac:dyDescent="0.35">
      <c r="A11" s="6" t="s">
        <v>10</v>
      </c>
      <c r="B11" s="7">
        <v>2737.5</v>
      </c>
      <c r="C11" s="7">
        <v>175.9</v>
      </c>
      <c r="D11" s="7">
        <v>379.2</v>
      </c>
      <c r="E11" s="7">
        <v>593.5</v>
      </c>
      <c r="F11" s="7">
        <v>302.10000000000002</v>
      </c>
      <c r="G11" s="7">
        <v>294.5</v>
      </c>
      <c r="H11" s="7">
        <v>909.5</v>
      </c>
      <c r="I11" s="7">
        <v>229.8</v>
      </c>
      <c r="J11" s="7">
        <v>394.1</v>
      </c>
      <c r="K11" s="7">
        <v>548.70000000000005</v>
      </c>
      <c r="L11" s="7">
        <v>1803.5</v>
      </c>
      <c r="M11" s="7">
        <v>3937.1</v>
      </c>
      <c r="N11" s="7">
        <v>1744</v>
      </c>
      <c r="O11" s="7">
        <v>970</v>
      </c>
      <c r="P11" s="7">
        <v>1559</v>
      </c>
      <c r="Q11" s="7">
        <v>2871</v>
      </c>
      <c r="R11" s="7">
        <v>2050</v>
      </c>
      <c r="S11" s="11">
        <v>1355</v>
      </c>
      <c r="T11" s="11">
        <v>528</v>
      </c>
    </row>
    <row r="12" spans="1:20" x14ac:dyDescent="0.35">
      <c r="A12" s="6" t="s">
        <v>12</v>
      </c>
      <c r="B12" s="7">
        <v>532.1</v>
      </c>
      <c r="C12" s="7">
        <v>252.29999999999998</v>
      </c>
      <c r="D12" s="7">
        <v>112.1</v>
      </c>
      <c r="E12" s="7">
        <v>424.09999999999997</v>
      </c>
      <c r="F12" s="7">
        <v>570.70000000000005</v>
      </c>
      <c r="G12" s="7">
        <v>903</v>
      </c>
      <c r="H12" s="7">
        <v>1927.4</v>
      </c>
      <c r="I12" s="7">
        <v>1679.8</v>
      </c>
      <c r="J12" s="7">
        <v>2998.4</v>
      </c>
      <c r="K12" s="7">
        <v>2059.4</v>
      </c>
      <c r="L12" s="7">
        <v>926.3</v>
      </c>
      <c r="M12" s="7">
        <v>1488.4</v>
      </c>
      <c r="N12" s="7">
        <v>703</v>
      </c>
      <c r="O12" s="7">
        <v>582</v>
      </c>
      <c r="P12" s="7">
        <v>924</v>
      </c>
      <c r="Q12" s="7">
        <v>1472</v>
      </c>
      <c r="R12" s="7">
        <v>900</v>
      </c>
      <c r="S12" s="11">
        <v>943</v>
      </c>
      <c r="T12" s="11">
        <v>459</v>
      </c>
    </row>
    <row r="13" spans="1:20" x14ac:dyDescent="0.35">
      <c r="A13" s="6" t="s">
        <v>8</v>
      </c>
      <c r="B13" s="7">
        <v>3086.9</v>
      </c>
      <c r="C13" s="7">
        <v>230.1</v>
      </c>
      <c r="D13" s="7">
        <v>5340.7</v>
      </c>
      <c r="E13" s="7">
        <v>8754.1999999999989</v>
      </c>
      <c r="F13" s="7">
        <v>420.79999999999995</v>
      </c>
      <c r="G13" s="7">
        <v>54.4</v>
      </c>
      <c r="H13" s="7">
        <v>134.19999999999999</v>
      </c>
      <c r="I13" s="7">
        <v>191.5</v>
      </c>
      <c r="J13" s="7">
        <v>3007</v>
      </c>
      <c r="K13" s="7">
        <v>192.3</v>
      </c>
      <c r="L13" s="7">
        <v>238</v>
      </c>
      <c r="M13" s="7">
        <v>91.5</v>
      </c>
      <c r="N13" s="7">
        <v>144</v>
      </c>
      <c r="O13" s="7">
        <v>756</v>
      </c>
      <c r="P13" s="7">
        <v>397</v>
      </c>
      <c r="Q13" s="7">
        <v>1196</v>
      </c>
      <c r="R13" s="7">
        <v>148</v>
      </c>
      <c r="S13" s="11">
        <v>1201</v>
      </c>
      <c r="T13" s="11">
        <v>77</v>
      </c>
    </row>
    <row r="14" spans="1:20" x14ac:dyDescent="0.35">
      <c r="A14" s="6" t="s">
        <v>9</v>
      </c>
      <c r="B14" s="7">
        <v>3.7</v>
      </c>
      <c r="C14" s="7">
        <v>21.6</v>
      </c>
      <c r="D14" s="7">
        <v>0.8</v>
      </c>
      <c r="E14" s="7">
        <v>21.200000000000003</v>
      </c>
      <c r="F14" s="7">
        <v>20</v>
      </c>
      <c r="G14" s="7">
        <v>2.7</v>
      </c>
      <c r="H14" s="7">
        <v>58.1</v>
      </c>
      <c r="I14" s="7">
        <v>19.100000000000001</v>
      </c>
      <c r="J14" s="7">
        <v>9.1</v>
      </c>
      <c r="K14" s="7">
        <v>51.2</v>
      </c>
      <c r="L14" s="7">
        <v>3.9</v>
      </c>
      <c r="M14" s="7">
        <v>12.3</v>
      </c>
      <c r="N14" s="7">
        <v>5</v>
      </c>
      <c r="O14" s="7">
        <v>28</v>
      </c>
      <c r="P14" s="7">
        <v>57</v>
      </c>
      <c r="Q14" s="7">
        <v>30</v>
      </c>
      <c r="R14" s="7">
        <v>163</v>
      </c>
      <c r="S14" s="11">
        <v>34</v>
      </c>
      <c r="T14" s="11">
        <v>6</v>
      </c>
    </row>
    <row r="15" spans="1:20" x14ac:dyDescent="0.35">
      <c r="A15" s="12" t="s">
        <v>13</v>
      </c>
      <c r="B15" s="7">
        <v>2255.9</v>
      </c>
      <c r="C15" s="7">
        <v>1493.6000000000001</v>
      </c>
      <c r="D15" s="7">
        <v>795.90000000000009</v>
      </c>
      <c r="E15" s="7">
        <v>1337.6000000000001</v>
      </c>
      <c r="F15" s="7">
        <v>1440.1999999999998</v>
      </c>
      <c r="G15" s="7">
        <v>1729.2</v>
      </c>
      <c r="H15" s="7">
        <v>2024.3</v>
      </c>
      <c r="I15" s="7">
        <v>3132.1</v>
      </c>
      <c r="J15" s="7">
        <v>2611.1</v>
      </c>
      <c r="K15" s="7">
        <v>2050.6</v>
      </c>
      <c r="L15" s="7">
        <v>2012.6</v>
      </c>
      <c r="M15" s="7">
        <v>2566.8000000000002</v>
      </c>
      <c r="N15" s="7">
        <v>2353</v>
      </c>
      <c r="O15" s="7">
        <v>2218</v>
      </c>
      <c r="P15" s="7">
        <v>2224</v>
      </c>
      <c r="Q15" s="7">
        <v>4107</v>
      </c>
      <c r="R15" s="7">
        <v>2959</v>
      </c>
      <c r="S15" s="11">
        <v>3235</v>
      </c>
      <c r="T15" s="11">
        <v>3005</v>
      </c>
    </row>
    <row r="16" spans="1:20" x14ac:dyDescent="0.35">
      <c r="A16" s="6" t="s">
        <v>14</v>
      </c>
      <c r="B16" s="7">
        <f>B17-SUM(B2:B15)</f>
        <v>127.90000000000146</v>
      </c>
      <c r="C16" s="7">
        <f>C17-SUM(C2:C15)</f>
        <v>34.000000000003638</v>
      </c>
      <c r="D16" s="7">
        <f t="shared" ref="B16:T16" si="0">D17-SUM(D2:D15)</f>
        <v>40.400000000001455</v>
      </c>
      <c r="E16" s="7">
        <f t="shared" si="0"/>
        <v>53.200000000011642</v>
      </c>
      <c r="F16" s="7">
        <f t="shared" si="0"/>
        <v>167.50000000000364</v>
      </c>
      <c r="G16" s="7">
        <f t="shared" si="0"/>
        <v>65</v>
      </c>
      <c r="H16" s="7">
        <f t="shared" si="0"/>
        <v>91.400000000016007</v>
      </c>
      <c r="I16" s="7">
        <f t="shared" si="0"/>
        <v>139.69999999999709</v>
      </c>
      <c r="J16" s="7">
        <f t="shared" si="0"/>
        <v>406.00000000000728</v>
      </c>
      <c r="K16" s="7">
        <f t="shared" si="0"/>
        <v>420.79999999999563</v>
      </c>
      <c r="L16" s="7">
        <f t="shared" si="0"/>
        <v>472.69999999999709</v>
      </c>
      <c r="M16" s="7">
        <f t="shared" si="0"/>
        <v>120</v>
      </c>
      <c r="N16" s="7">
        <f t="shared" si="0"/>
        <v>194</v>
      </c>
      <c r="O16" s="7">
        <f t="shared" si="0"/>
        <v>79</v>
      </c>
      <c r="P16" s="7">
        <f t="shared" si="0"/>
        <v>211</v>
      </c>
      <c r="Q16" s="7">
        <f t="shared" si="0"/>
        <v>387</v>
      </c>
      <c r="R16" s="7">
        <f t="shared" si="0"/>
        <v>115</v>
      </c>
      <c r="S16" s="7">
        <f t="shared" si="0"/>
        <v>163</v>
      </c>
      <c r="T16" s="7">
        <f t="shared" si="0"/>
        <v>74</v>
      </c>
    </row>
    <row r="17" spans="1:20" s="4" customFormat="1" ht="21" customHeight="1" x14ac:dyDescent="0.35">
      <c r="A17" s="13" t="s">
        <v>0</v>
      </c>
      <c r="B17" s="5">
        <v>37959</v>
      </c>
      <c r="C17" s="5">
        <v>27963</v>
      </c>
      <c r="D17" s="5">
        <v>25249.7</v>
      </c>
      <c r="E17" s="5">
        <v>35068.300000000003</v>
      </c>
      <c r="F17" s="5">
        <v>26060.2</v>
      </c>
      <c r="G17" s="5">
        <v>32091.7</v>
      </c>
      <c r="H17" s="5">
        <v>39076.9</v>
      </c>
      <c r="I17" s="5">
        <v>36549.5</v>
      </c>
      <c r="J17" s="5">
        <v>39920</v>
      </c>
      <c r="K17" s="5">
        <v>35351.199999999997</v>
      </c>
      <c r="L17" s="5">
        <v>34354</v>
      </c>
      <c r="M17" s="5">
        <v>46099</v>
      </c>
      <c r="N17" s="5">
        <v>34489</v>
      </c>
      <c r="O17" s="5">
        <v>26005</v>
      </c>
      <c r="P17" s="5">
        <v>32537</v>
      </c>
      <c r="Q17" s="5">
        <v>40297</v>
      </c>
      <c r="R17" s="5">
        <v>39745</v>
      </c>
      <c r="S17" s="5">
        <v>43802</v>
      </c>
      <c r="T17" s="5">
        <v>43609</v>
      </c>
    </row>
    <row r="19" spans="1:20" x14ac:dyDescent="0.35">
      <c r="L19" s="9"/>
      <c r="M19" s="9"/>
    </row>
    <row r="20" spans="1:20" x14ac:dyDescent="0.35">
      <c r="L20" s="9"/>
      <c r="M20" s="10"/>
    </row>
    <row r="21" spans="1:20" x14ac:dyDescent="0.35">
      <c r="L21" s="9"/>
      <c r="M21" s="10"/>
    </row>
    <row r="22" spans="1:20" x14ac:dyDescent="0.35">
      <c r="L22" s="9"/>
      <c r="M22" s="10"/>
    </row>
    <row r="23" spans="1:20" x14ac:dyDescent="0.35">
      <c r="L23" s="9"/>
      <c r="M23" s="10"/>
    </row>
    <row r="24" spans="1:20" x14ac:dyDescent="0.35">
      <c r="B24" s="8"/>
      <c r="C24" s="8"/>
      <c r="D24" s="8"/>
      <c r="E24" s="8"/>
      <c r="F24" s="8"/>
      <c r="G24" s="8"/>
      <c r="H24" s="8"/>
      <c r="I24" s="8"/>
      <c r="J24" s="8"/>
      <c r="K24" s="8"/>
      <c r="L24" s="9"/>
      <c r="M24" s="10"/>
      <c r="N24" s="8"/>
      <c r="O24" s="8"/>
      <c r="P24" s="8"/>
      <c r="Q24" s="8"/>
      <c r="R24" s="8"/>
      <c r="S24" s="8"/>
    </row>
    <row r="25" spans="1:20" x14ac:dyDescent="0.35">
      <c r="B25" s="8"/>
      <c r="C25" s="8"/>
      <c r="D25" s="8"/>
      <c r="E25" s="8"/>
      <c r="F25" s="8"/>
      <c r="G25" s="8"/>
      <c r="H25" s="8"/>
      <c r="I25" s="8"/>
      <c r="J25" s="8"/>
      <c r="K25" s="8"/>
      <c r="L25" s="9"/>
      <c r="M25" s="10"/>
      <c r="N25" s="8"/>
      <c r="O25" s="8"/>
      <c r="P25" s="8"/>
      <c r="Q25" s="8"/>
      <c r="R25" s="8"/>
      <c r="S25" s="8"/>
    </row>
    <row r="26" spans="1:20" x14ac:dyDescent="0.35">
      <c r="B26" s="8"/>
      <c r="C26" s="8"/>
      <c r="D26" s="8"/>
      <c r="E26" s="8"/>
      <c r="F26" s="8"/>
      <c r="G26" s="8"/>
      <c r="H26" s="8"/>
      <c r="I26" s="8"/>
      <c r="J26" s="8"/>
      <c r="K26" s="8"/>
      <c r="L26" s="9"/>
      <c r="M26" s="10"/>
      <c r="N26" s="8"/>
      <c r="O26" s="8"/>
      <c r="P26" s="8"/>
      <c r="Q26" s="8"/>
      <c r="R26" s="8"/>
      <c r="S26" s="8"/>
    </row>
    <row r="27" spans="1:20" x14ac:dyDescent="0.35">
      <c r="L27" s="9"/>
      <c r="M27" s="10"/>
    </row>
    <row r="28" spans="1:20" x14ac:dyDescent="0.35">
      <c r="L28" s="9"/>
      <c r="M28" s="10"/>
    </row>
    <row r="29" spans="1:20" x14ac:dyDescent="0.35">
      <c r="L29" s="9"/>
      <c r="M29" s="10"/>
    </row>
    <row r="30" spans="1:20" x14ac:dyDescent="0.35">
      <c r="L30" s="9"/>
      <c r="M30" s="10"/>
    </row>
    <row r="31" spans="1:20" x14ac:dyDescent="0.35">
      <c r="L31" s="9"/>
      <c r="M31" s="10"/>
    </row>
    <row r="32" spans="1:20" x14ac:dyDescent="0.35">
      <c r="L32" s="9"/>
      <c r="M32" s="10"/>
    </row>
    <row r="33" spans="12:13" x14ac:dyDescent="0.35">
      <c r="L33" s="9"/>
      <c r="M33" s="10"/>
    </row>
    <row r="34" spans="12:13" x14ac:dyDescent="0.35">
      <c r="L34" s="9"/>
      <c r="M34" s="10"/>
    </row>
    <row r="35" spans="12:13" x14ac:dyDescent="0.35">
      <c r="L35" s="9"/>
      <c r="M35" s="10"/>
    </row>
  </sheetData>
  <sortState xmlns:xlrd2="http://schemas.microsoft.com/office/spreadsheetml/2017/richdata2" ref="A2:T14">
    <sortCondition descending="1" ref="T2:T14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R-IDEM-S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AGHAZZAF Nabil</dc:creator>
  <cp:lastModifiedBy>Asma Janah</cp:lastModifiedBy>
  <dcterms:created xsi:type="dcterms:W3CDTF">2014-02-11T14:31:40Z</dcterms:created>
  <dcterms:modified xsi:type="dcterms:W3CDTF">2026-03-07T16:45:21Z</dcterms:modified>
</cp:coreProperties>
</file>